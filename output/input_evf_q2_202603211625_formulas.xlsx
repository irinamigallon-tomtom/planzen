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Bucket</t>
        </is>
      </c>
      <c r="B1" t="inlineStr">
        <is>
          <t>Epic / Capacity Metric</t>
        </is>
      </c>
      <c r="C1" t="inlineStr">
        <is>
          <t>Priority</t>
        </is>
      </c>
      <c r="D1" t="inlineStr">
        <is>
          <t>Estimation</t>
        </is>
      </c>
      <c r="E1" t="inlineStr">
        <is>
          <t>Total Weeks</t>
        </is>
      </c>
      <c r="F1" t="inlineStr">
        <is>
          <t>Mar.30</t>
        </is>
      </c>
      <c r="G1" t="inlineStr">
        <is>
          <t>Apr.06</t>
        </is>
      </c>
      <c r="H1" t="inlineStr">
        <is>
          <t>Apr.13</t>
        </is>
      </c>
      <c r="I1" t="inlineStr">
        <is>
          <t>Apr.20</t>
        </is>
      </c>
      <c r="J1" t="inlineStr">
        <is>
          <t>Apr.27</t>
        </is>
      </c>
      <c r="K1" t="inlineStr">
        <is>
          <t>May.04</t>
        </is>
      </c>
      <c r="L1" t="inlineStr">
        <is>
          <t>May.11</t>
        </is>
      </c>
      <c r="M1" t="inlineStr">
        <is>
          <t>May.18</t>
        </is>
      </c>
      <c r="N1" t="inlineStr">
        <is>
          <t>May.25</t>
        </is>
      </c>
      <c r="O1" t="inlineStr">
        <is>
          <t>Jun.01</t>
        </is>
      </c>
      <c r="P1" t="inlineStr">
        <is>
          <t>Jun.08</t>
        </is>
      </c>
      <c r="Q1" t="inlineStr">
        <is>
          <t>Jun.15</t>
        </is>
      </c>
      <c r="R1" t="inlineStr">
        <is>
          <t>Jun.22</t>
        </is>
      </c>
    </row>
    <row r="2">
      <c r="B2" t="inlineStr">
        <is>
          <t>Engineer Capacity (Bruto)</t>
        </is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</row>
    <row r="3">
      <c r="B3" t="inlineStr">
        <is>
          <t>Engineer Absence</t>
        </is>
      </c>
      <c r="F3" t="n">
        <v>0.1</v>
      </c>
      <c r="G3" t="n">
        <v>0.1</v>
      </c>
      <c r="H3" t="n">
        <v>0.1</v>
      </c>
      <c r="I3" t="n">
        <v>0.1</v>
      </c>
      <c r="J3" t="n">
        <v>0.1</v>
      </c>
      <c r="K3" t="n">
        <v>0.1</v>
      </c>
      <c r="L3" t="n">
        <v>0.1</v>
      </c>
      <c r="M3" t="n">
        <v>0.1</v>
      </c>
      <c r="N3" t="n">
        <v>0.1</v>
      </c>
      <c r="O3" t="n">
        <v>0.1</v>
      </c>
      <c r="P3" t="n">
        <v>0.1</v>
      </c>
      <c r="Q3" t="n">
        <v>0.1</v>
      </c>
      <c r="R3" t="n">
        <v>0.1</v>
      </c>
    </row>
    <row r="4">
      <c r="B4" t="inlineStr">
        <is>
          <t>Engineer Net Capacity</t>
        </is>
      </c>
      <c r="F4">
        <f>F2-F3</f>
        <v/>
      </c>
      <c r="G4">
        <f>G2-G3</f>
        <v/>
      </c>
      <c r="H4">
        <f>H2-H3</f>
        <v/>
      </c>
      <c r="I4">
        <f>I2-I3</f>
        <v/>
      </c>
      <c r="J4">
        <f>J2-J3</f>
        <v/>
      </c>
      <c r="K4">
        <f>K2-K3</f>
        <v/>
      </c>
      <c r="L4">
        <f>L2-L3</f>
        <v/>
      </c>
      <c r="M4">
        <f>M2-M3</f>
        <v/>
      </c>
      <c r="N4">
        <f>N2-N3</f>
        <v/>
      </c>
      <c r="O4">
        <f>O2-O3</f>
        <v/>
      </c>
      <c r="P4">
        <f>P2-P3</f>
        <v/>
      </c>
      <c r="Q4">
        <f>Q2-Q3</f>
        <v/>
      </c>
      <c r="R4">
        <f>R2-R3</f>
        <v/>
      </c>
    </row>
    <row r="5">
      <c r="B5" t="inlineStr">
        <is>
          <t>Management Capacity</t>
        </is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0.5</v>
      </c>
      <c r="L5" t="n">
        <v>0.5</v>
      </c>
      <c r="M5" t="n">
        <v>0.5</v>
      </c>
      <c r="N5" t="n">
        <v>0.5</v>
      </c>
      <c r="O5" t="n">
        <v>0.5</v>
      </c>
      <c r="P5" t="n">
        <v>0.5</v>
      </c>
      <c r="Q5" t="n">
        <v>0.5</v>
      </c>
      <c r="R5" t="n">
        <v>0.5</v>
      </c>
    </row>
    <row r="6">
      <c r="B6" t="inlineStr">
        <is>
          <t>Management Absence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B7" t="inlineStr">
        <is>
          <t>Management Net Capacity</t>
        </is>
      </c>
      <c r="F7">
        <f>F5-F6</f>
        <v/>
      </c>
      <c r="G7">
        <f>G5-G6</f>
        <v/>
      </c>
      <c r="H7">
        <f>H5-H6</f>
        <v/>
      </c>
      <c r="I7">
        <f>I5-I6</f>
        <v/>
      </c>
      <c r="J7">
        <f>J5-J6</f>
        <v/>
      </c>
      <c r="K7">
        <f>K5-K6</f>
        <v/>
      </c>
      <c r="L7">
        <f>L5-L6</f>
        <v/>
      </c>
      <c r="M7">
        <f>M5-M6</f>
        <v/>
      </c>
      <c r="N7">
        <f>N5-N6</f>
        <v/>
      </c>
      <c r="O7">
        <f>O5-O6</f>
        <v/>
      </c>
      <c r="P7">
        <f>P5-P6</f>
        <v/>
      </c>
      <c r="Q7">
        <f>Q5-Q6</f>
        <v/>
      </c>
      <c r="R7">
        <f>R5-R6</f>
        <v/>
      </c>
    </row>
    <row r="8">
      <c r="A8" t="inlineStr">
        <is>
          <t>Customer Support</t>
        </is>
      </c>
      <c r="B8" t="inlineStr">
        <is>
          <t>NewHaven: Customer Support (NK2 context only)</t>
        </is>
      </c>
      <c r="C8" t="n">
        <v>0</v>
      </c>
      <c r="D8" t="n">
        <v>2</v>
      </c>
      <c r="E8">
        <f>SUM(F8:R8)</f>
        <v/>
      </c>
      <c r="F8" t="n">
        <v>0.2</v>
      </c>
      <c r="G8" t="n">
        <v>0.2</v>
      </c>
      <c r="H8" t="n">
        <v>0.2</v>
      </c>
      <c r="I8" t="n">
        <v>0.2</v>
      </c>
      <c r="J8" t="n">
        <v>0.2</v>
      </c>
      <c r="K8" t="n">
        <v>0.2</v>
      </c>
      <c r="L8" t="n">
        <v>0.2</v>
      </c>
      <c r="M8" t="n">
        <v>0.2</v>
      </c>
      <c r="N8" t="n">
        <v>0.2</v>
      </c>
      <c r="O8" t="n">
        <v>0.2</v>
      </c>
      <c r="P8" t="n">
        <v>0</v>
      </c>
      <c r="Q8" t="n">
        <v>0</v>
      </c>
      <c r="R8" t="n">
        <v>0</v>
      </c>
    </row>
    <row r="9">
      <c r="A9" t="inlineStr">
        <is>
          <t>Customer Support</t>
        </is>
      </c>
      <c r="B9" t="inlineStr">
        <is>
          <t>NewHaven: Customer Support (not limited to NK2 context)</t>
        </is>
      </c>
      <c r="C9" t="n">
        <v>0</v>
      </c>
      <c r="D9" t="n">
        <v>4</v>
      </c>
      <c r="E9">
        <f>SUM(F9:R9)</f>
        <v/>
      </c>
      <c r="F9" t="n">
        <v>0.3</v>
      </c>
      <c r="G9" t="n">
        <v>0.3</v>
      </c>
      <c r="H9" t="n">
        <v>0.3</v>
      </c>
      <c r="I9" t="n">
        <v>0.3</v>
      </c>
      <c r="J9" t="n">
        <v>0.3</v>
      </c>
      <c r="K9" t="n">
        <v>0.3</v>
      </c>
      <c r="L9" t="n">
        <v>0.3</v>
      </c>
      <c r="M9" t="n">
        <v>0.3</v>
      </c>
      <c r="N9" t="n">
        <v>0.3</v>
      </c>
      <c r="O9" t="n">
        <v>0.3</v>
      </c>
      <c r="P9" t="n">
        <v>0.3</v>
      </c>
      <c r="Q9" t="n">
        <v>0.3</v>
      </c>
      <c r="R9" t="n">
        <v>0.3</v>
      </c>
    </row>
    <row r="10">
      <c r="A10" t="inlineStr">
        <is>
          <t>Customer Support</t>
        </is>
      </c>
      <c r="B10" t="inlineStr">
        <is>
          <t>Customer Support: setting parameters and analyzing consumption prediction issues</t>
        </is>
      </c>
      <c r="C10" t="n">
        <v>0</v>
      </c>
      <c r="D10" t="n">
        <v>6</v>
      </c>
      <c r="E10">
        <f>SUM(F10:R10)</f>
        <v/>
      </c>
      <c r="F10" t="n">
        <v>0.5</v>
      </c>
      <c r="G10" t="n">
        <v>0.5</v>
      </c>
      <c r="H10" t="n">
        <v>0.5</v>
      </c>
      <c r="I10" t="n">
        <v>0.5</v>
      </c>
      <c r="J10" t="n">
        <v>0.5</v>
      </c>
      <c r="K10" t="n">
        <v>0.5</v>
      </c>
      <c r="L10" t="n">
        <v>0.5</v>
      </c>
      <c r="M10" t="n">
        <v>0.5</v>
      </c>
      <c r="N10" t="n">
        <v>0.5</v>
      </c>
      <c r="O10" t="n">
        <v>0.5</v>
      </c>
      <c r="P10" t="n">
        <v>0.5</v>
      </c>
      <c r="Q10" t="n">
        <v>0.5</v>
      </c>
      <c r="R10" t="n">
        <v>0</v>
      </c>
    </row>
    <row r="11">
      <c r="A11" t="inlineStr">
        <is>
          <t>Security &amp; Compliance</t>
        </is>
      </c>
      <c r="B11" t="inlineStr">
        <is>
          <t>Critical Tech Debt, security, compliance</t>
        </is>
      </c>
      <c r="C11" t="n">
        <v>1</v>
      </c>
      <c r="D11" t="n">
        <v>1</v>
      </c>
      <c r="E11">
        <f>SUM(F11:R11)</f>
        <v/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0.1</v>
      </c>
      <c r="L11" t="n">
        <v>0.1</v>
      </c>
      <c r="M11" t="n">
        <v>0.1</v>
      </c>
      <c r="N11" t="n">
        <v>0.1</v>
      </c>
      <c r="O11" t="n">
        <v>0.1</v>
      </c>
      <c r="P11" t="n">
        <v>0</v>
      </c>
      <c r="Q11" t="n">
        <v>0</v>
      </c>
      <c r="R11" t="n">
        <v>0</v>
      </c>
    </row>
    <row r="12">
      <c r="A12" t="inlineStr">
        <is>
          <t>Critical Product Debt</t>
        </is>
      </c>
      <c r="B12" t="inlineStr">
        <is>
          <t>Replace CalculateReachableDistance by CConsumptionAnnotationCalculator</t>
        </is>
      </c>
      <c r="C12" t="n">
        <v>1</v>
      </c>
      <c r="D12" t="n">
        <v>1.5</v>
      </c>
      <c r="E12">
        <f>SUM(F12:R12)</f>
        <v/>
      </c>
      <c r="F12" t="n">
        <v>0.1</v>
      </c>
      <c r="G12" t="n">
        <v>0.1</v>
      </c>
      <c r="H12" t="n">
        <v>0.1</v>
      </c>
      <c r="I12" t="n">
        <v>0.1</v>
      </c>
      <c r="J12" t="n">
        <v>0.1</v>
      </c>
      <c r="K12" t="n">
        <v>0.1</v>
      </c>
      <c r="L12" t="n">
        <v>0.1</v>
      </c>
      <c r="M12" t="n">
        <v>0.1</v>
      </c>
      <c r="N12" t="n">
        <v>0.1</v>
      </c>
      <c r="O12" t="n">
        <v>0.1</v>
      </c>
      <c r="P12" t="n">
        <v>0.1</v>
      </c>
      <c r="Q12" t="n">
        <v>0.1</v>
      </c>
      <c r="R12" t="n">
        <v>0.1</v>
      </c>
    </row>
    <row r="13">
      <c r="A13" t="inlineStr">
        <is>
          <t>Critical Customer Commitments</t>
        </is>
      </c>
      <c r="B13" t="inlineStr">
        <is>
          <t>Battery Preconditioning in NavSDK</t>
        </is>
      </c>
      <c r="C13" t="n">
        <v>1</v>
      </c>
      <c r="D13" t="n">
        <v>0</v>
      </c>
      <c r="E13">
        <f>SUM(F13:R13)</f>
        <v/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Critical Product Debt</t>
        </is>
      </c>
      <c r="B14" t="inlineStr">
        <is>
          <t>Trigger recalc for consumption curve change</t>
        </is>
      </c>
      <c r="C14" t="n">
        <v>2</v>
      </c>
      <c r="D14" t="n">
        <v>1</v>
      </c>
      <c r="E14">
        <f>SUM(F14:R14)</f>
        <v/>
      </c>
      <c r="F14" t="n">
        <v>0.1</v>
      </c>
      <c r="G14" t="n">
        <v>0.1</v>
      </c>
      <c r="H14" t="n">
        <v>0.1</v>
      </c>
      <c r="I14" t="n">
        <v>0.1</v>
      </c>
      <c r="J14" t="n">
        <v>0.1</v>
      </c>
      <c r="K14" t="n">
        <v>0.1</v>
      </c>
      <c r="L14" t="n">
        <v>0.1</v>
      </c>
      <c r="M14" t="n">
        <v>0.1</v>
      </c>
      <c r="N14" t="n">
        <v>0.1</v>
      </c>
      <c r="O14" t="n">
        <v>0.1</v>
      </c>
      <c r="P14" t="n">
        <v>0</v>
      </c>
      <c r="Q14" t="n">
        <v>0</v>
      </c>
      <c r="R14" t="n">
        <v>0</v>
      </c>
    </row>
    <row r="15">
      <c r="A15" t="inlineStr">
        <is>
          <t>Self-Service ML EV Range - Phase 1</t>
        </is>
      </c>
      <c r="B15" t="inlineStr">
        <is>
          <t>Patent (weather in consumption model)</t>
        </is>
      </c>
      <c r="C15" t="n">
        <v>3</v>
      </c>
      <c r="D15" t="n">
        <v>1</v>
      </c>
      <c r="E15">
        <f>SUM(F15:R15)</f>
        <v/>
      </c>
      <c r="F15" t="n">
        <v>0.1</v>
      </c>
      <c r="G15" t="n">
        <v>0.1</v>
      </c>
      <c r="H15" t="n">
        <v>0.1</v>
      </c>
      <c r="I15" t="n">
        <v>0.1</v>
      </c>
      <c r="J15" t="n">
        <v>0.1</v>
      </c>
      <c r="K15" t="n">
        <v>0.1</v>
      </c>
      <c r="L15" t="n">
        <v>0.1</v>
      </c>
      <c r="M15" t="n">
        <v>0.1</v>
      </c>
      <c r="N15" t="n">
        <v>0.1</v>
      </c>
      <c r="O15" t="n">
        <v>0.1</v>
      </c>
      <c r="P15" t="n">
        <v>0</v>
      </c>
      <c r="Q15" t="n">
        <v>0</v>
      </c>
      <c r="R15" t="n">
        <v>0</v>
      </c>
    </row>
    <row r="16">
      <c r="A16" t="inlineStr">
        <is>
          <t>Self-Service ML EV Range - Phase 1</t>
        </is>
      </c>
      <c r="B16" t="inlineStr">
        <is>
          <t>White Label 1.3 solution design (except self-correction which is WP59)</t>
        </is>
      </c>
      <c r="C16" t="n">
        <v>3</v>
      </c>
      <c r="D16" t="n">
        <v>0.8</v>
      </c>
      <c r="E16">
        <f>SUM(F16:R16)</f>
        <v/>
      </c>
      <c r="F16" t="n">
        <v>0.1</v>
      </c>
      <c r="G16" t="n">
        <v>0.1</v>
      </c>
      <c r="H16" t="n">
        <v>0.1</v>
      </c>
      <c r="I16" t="n">
        <v>0.1</v>
      </c>
      <c r="J16" t="n">
        <v>0.1</v>
      </c>
      <c r="K16" t="n">
        <v>0.1</v>
      </c>
      <c r="L16" t="n">
        <v>0.1</v>
      </c>
      <c r="M16" t="n">
        <v>0.1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Quality improvements through ML/AI experimentation</t>
        </is>
      </c>
      <c r="B17" t="inlineStr">
        <is>
          <t>[1.2] WP #58 Research: Re-plannings (and other gaps) due to different model versions onboard vs online (physics vs fusion) [Support Jovan]</t>
        </is>
      </c>
      <c r="C17" t="n">
        <v>3</v>
      </c>
      <c r="D17" t="n">
        <v>0.5</v>
      </c>
      <c r="E17">
        <f>SUM(F17:R17)</f>
        <v/>
      </c>
      <c r="F17" t="n">
        <v>0.1</v>
      </c>
      <c r="G17" t="n">
        <v>0.1</v>
      </c>
      <c r="H17" t="n">
        <v>0.1</v>
      </c>
      <c r="I17" t="n">
        <v>0.1</v>
      </c>
      <c r="J17" t="n">
        <v>0.1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Total</t>
        </is>
      </c>
      <c r="B18" t="inlineStr">
        <is>
          <t>Weekly Allocation</t>
        </is>
      </c>
      <c r="F18">
        <f>SUM(F8:F17)</f>
        <v/>
      </c>
      <c r="G18">
        <f>SUM(G8:G17)</f>
        <v/>
      </c>
      <c r="H18">
        <f>SUM(H8:H17)</f>
        <v/>
      </c>
      <c r="I18">
        <f>SUM(I8:I17)</f>
        <v/>
      </c>
      <c r="J18">
        <f>SUM(J8:J17)</f>
        <v/>
      </c>
      <c r="K18">
        <f>SUM(K8:K17)</f>
        <v/>
      </c>
      <c r="L18">
        <f>SUM(L8:L17)</f>
        <v/>
      </c>
      <c r="M18">
        <f>SUM(M8:M17)</f>
        <v/>
      </c>
      <c r="N18">
        <f>SUM(N8:N17)</f>
        <v/>
      </c>
      <c r="O18">
        <f>SUM(O8:O17)</f>
        <v/>
      </c>
      <c r="P18">
        <f>SUM(P8:P17)</f>
        <v/>
      </c>
      <c r="Q18">
        <f>SUM(Q8:Q17)</f>
        <v/>
      </c>
      <c r="R18">
        <f>SUM(R8:R17)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2026-03-21T15:25:14Z</dcterms:created>
  <dcterms:modified xsi:type="dcterms:W3CDTF">2026-03-21T15:25:14Z</dcterms:modified>
</cp:coreProperties>
</file>