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o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 Bucket</t>
        </is>
      </c>
      <c r="B1" t="inlineStr">
        <is>
          <t>Epic / Capacity Metric</t>
        </is>
      </c>
      <c r="C1" t="inlineStr">
        <is>
          <t>Priority</t>
        </is>
      </c>
      <c r="D1" t="inlineStr">
        <is>
          <t>Estimation</t>
        </is>
      </c>
      <c r="E1" t="inlineStr">
        <is>
          <t>Total Weeks</t>
        </is>
      </c>
      <c r="F1" t="inlineStr">
        <is>
          <t>Off Estimate</t>
        </is>
      </c>
      <c r="G1" t="inlineStr">
        <is>
          <t>Mar.30</t>
        </is>
      </c>
      <c r="H1" t="inlineStr">
        <is>
          <t>Apr.06</t>
        </is>
      </c>
      <c r="I1" t="inlineStr">
        <is>
          <t>Apr.13</t>
        </is>
      </c>
      <c r="J1" t="inlineStr">
        <is>
          <t>Apr.20</t>
        </is>
      </c>
      <c r="K1" t="inlineStr">
        <is>
          <t>Apr.27</t>
        </is>
      </c>
      <c r="L1" t="inlineStr">
        <is>
          <t>May.04</t>
        </is>
      </c>
      <c r="M1" t="inlineStr">
        <is>
          <t>May.11</t>
        </is>
      </c>
      <c r="N1" t="inlineStr">
        <is>
          <t>May.18</t>
        </is>
      </c>
      <c r="O1" t="inlineStr">
        <is>
          <t>May.25</t>
        </is>
      </c>
      <c r="P1" t="inlineStr">
        <is>
          <t>Jun.01</t>
        </is>
      </c>
      <c r="Q1" t="inlineStr">
        <is>
          <t>Jun.08</t>
        </is>
      </c>
      <c r="R1" t="inlineStr">
        <is>
          <t>Jun.15</t>
        </is>
      </c>
      <c r="S1" t="inlineStr">
        <is>
          <t>Jun.22</t>
        </is>
      </c>
    </row>
    <row r="2">
      <c r="B2" t="inlineStr">
        <is>
          <t>Engineer Capacity (Bruto)</t>
        </is>
      </c>
      <c r="G2" t="n">
        <v>5</v>
      </c>
      <c r="H2" t="n">
        <v>5</v>
      </c>
      <c r="I2" t="n">
        <v>5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5</v>
      </c>
      <c r="Q2" t="n">
        <v>5</v>
      </c>
      <c r="R2" t="n">
        <v>5</v>
      </c>
      <c r="S2" t="n">
        <v>5</v>
      </c>
    </row>
    <row r="3">
      <c r="B3" t="inlineStr">
        <is>
          <t>Engineer Absence</t>
        </is>
      </c>
      <c r="G3" t="n">
        <v>0.2</v>
      </c>
      <c r="H3" t="n">
        <v>0.2</v>
      </c>
      <c r="I3" t="n">
        <v>0.2</v>
      </c>
      <c r="J3" t="n">
        <v>0.2</v>
      </c>
      <c r="K3" t="n">
        <v>0.2</v>
      </c>
      <c r="L3" t="n">
        <v>0.2</v>
      </c>
      <c r="M3" t="n">
        <v>0.2</v>
      </c>
      <c r="N3" t="n">
        <v>0.2</v>
      </c>
      <c r="O3" t="n">
        <v>0.2</v>
      </c>
      <c r="P3" t="n">
        <v>0.2</v>
      </c>
      <c r="Q3" t="n">
        <v>0.2</v>
      </c>
      <c r="R3" t="n">
        <v>0.2</v>
      </c>
      <c r="S3" t="n">
        <v>0.2</v>
      </c>
    </row>
    <row r="4">
      <c r="B4" t="inlineStr">
        <is>
          <t>Engineer Net Capacity</t>
        </is>
      </c>
      <c r="G4">
        <f>G2-G3</f>
        <v/>
      </c>
      <c r="H4">
        <f>H2-H3</f>
        <v/>
      </c>
      <c r="I4">
        <f>I2-I3</f>
        <v/>
      </c>
      <c r="J4">
        <f>J2-J3</f>
        <v/>
      </c>
      <c r="K4">
        <f>K2-K3</f>
        <v/>
      </c>
      <c r="L4">
        <f>L2-L3</f>
        <v/>
      </c>
      <c r="M4">
        <f>M2-M3</f>
        <v/>
      </c>
      <c r="N4">
        <f>N2-N3</f>
        <v/>
      </c>
      <c r="O4">
        <f>O2-O3</f>
        <v/>
      </c>
      <c r="P4">
        <f>P2-P3</f>
        <v/>
      </c>
      <c r="Q4">
        <f>Q2-Q3</f>
        <v/>
      </c>
      <c r="R4">
        <f>R2-R3</f>
        <v/>
      </c>
      <c r="S4">
        <f>S2-S3</f>
        <v/>
      </c>
    </row>
    <row r="5">
      <c r="B5" t="inlineStr">
        <is>
          <t>Management Capacity</t>
        </is>
      </c>
      <c r="G5" t="n">
        <v>2</v>
      </c>
      <c r="H5" t="n">
        <v>2</v>
      </c>
      <c r="I5" t="n">
        <v>2</v>
      </c>
      <c r="J5" t="n">
        <v>2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</row>
    <row r="6">
      <c r="B6" t="inlineStr">
        <is>
          <t>Management Absence</t>
        </is>
      </c>
      <c r="G6" t="n">
        <v>0.3</v>
      </c>
      <c r="H6" t="n">
        <v>0.3</v>
      </c>
      <c r="I6" t="n">
        <v>0.3</v>
      </c>
      <c r="J6" t="n">
        <v>0.3</v>
      </c>
      <c r="K6" t="n">
        <v>0.3</v>
      </c>
      <c r="L6" t="n">
        <v>0.3</v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  <c r="S6" t="n">
        <v>0.3</v>
      </c>
    </row>
    <row r="7">
      <c r="B7" t="inlineStr">
        <is>
          <t>Management Net Capacity</t>
        </is>
      </c>
      <c r="G7">
        <f>G5-G6</f>
        <v/>
      </c>
      <c r="H7">
        <f>H5-H6</f>
        <v/>
      </c>
      <c r="I7">
        <f>I5-I6</f>
        <v/>
      </c>
      <c r="J7">
        <f>J5-J6</f>
        <v/>
      </c>
      <c r="K7">
        <f>K5-K6</f>
        <v/>
      </c>
      <c r="L7">
        <f>L5-L6</f>
        <v/>
      </c>
      <c r="M7">
        <f>M5-M6</f>
        <v/>
      </c>
      <c r="N7">
        <f>N5-N6</f>
        <v/>
      </c>
      <c r="O7">
        <f>O5-O6</f>
        <v/>
      </c>
      <c r="P7">
        <f>P5-P6</f>
        <v/>
      </c>
      <c r="Q7">
        <f>Q5-Q6</f>
        <v/>
      </c>
      <c r="R7">
        <f>R5-R6</f>
        <v/>
      </c>
      <c r="S7">
        <f>S5-S6</f>
        <v/>
      </c>
    </row>
    <row r="8">
      <c r="A8" t="inlineStr">
        <is>
          <t>Core</t>
        </is>
      </c>
      <c r="B8" t="inlineStr">
        <is>
          <t>Alpha Search</t>
        </is>
      </c>
      <c r="C8" t="n">
        <v>1</v>
      </c>
      <c r="D8" t="n">
        <v>8</v>
      </c>
      <c r="E8">
        <f>SUM(G8:S8)</f>
        <v/>
      </c>
      <c r="F8">
        <f>ABS(E8-D8)&gt;0.05</f>
        <v/>
      </c>
      <c r="G8" t="n">
        <v>2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</row>
    <row r="9">
      <c r="A9" t="inlineStr">
        <is>
          <t>Platform</t>
        </is>
      </c>
      <c r="B9" t="inlineStr">
        <is>
          <t>Beta Platform</t>
        </is>
      </c>
      <c r="C9" t="n">
        <v>2</v>
      </c>
      <c r="D9" t="n">
        <v>12</v>
      </c>
      <c r="E9">
        <f>SUM(G9:S9)</f>
        <v/>
      </c>
      <c r="F9">
        <f>ABS(E9-D9)&gt;0.05</f>
        <v/>
      </c>
      <c r="G9" t="n">
        <v>2</v>
      </c>
      <c r="H9" t="n">
        <v>2</v>
      </c>
      <c r="I9" t="n">
        <v>2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</row>
    <row r="10">
      <c r="A10" t="inlineStr">
        <is>
          <t>Growth</t>
        </is>
      </c>
      <c r="B10" t="inlineStr">
        <is>
          <t>Gamma Onboarding</t>
        </is>
      </c>
      <c r="C10" t="n">
        <v>3</v>
      </c>
      <c r="D10" t="n">
        <v>5</v>
      </c>
      <c r="E10">
        <f>SUM(G10:S10)</f>
        <v/>
      </c>
      <c r="F10">
        <f>ABS(E10-D10)&gt;0.05</f>
        <v/>
      </c>
      <c r="G10" t="n">
        <v>0.4</v>
      </c>
      <c r="H10" t="n">
        <v>0.4</v>
      </c>
      <c r="I10" t="n">
        <v>0.4</v>
      </c>
      <c r="J10" t="n">
        <v>0.4</v>
      </c>
      <c r="K10" t="n">
        <v>0.4</v>
      </c>
      <c r="L10" t="n">
        <v>0.4</v>
      </c>
      <c r="M10" t="n">
        <v>0.4</v>
      </c>
      <c r="N10" t="n">
        <v>0.4</v>
      </c>
      <c r="O10" t="n">
        <v>0.4</v>
      </c>
      <c r="P10" t="n">
        <v>0.4</v>
      </c>
      <c r="Q10" t="n">
        <v>0.4</v>
      </c>
      <c r="R10" t="n">
        <v>0.4</v>
      </c>
      <c r="S10" t="n">
        <v>0.2</v>
      </c>
    </row>
    <row r="11">
      <c r="A11" t="inlineStr">
        <is>
          <t>Platform</t>
        </is>
      </c>
      <c r="B11" t="inlineStr">
        <is>
          <t>Delta Infra</t>
        </is>
      </c>
      <c r="C11" t="n">
        <v>4</v>
      </c>
      <c r="D11" t="n">
        <v>7</v>
      </c>
      <c r="E11">
        <f>SUM(G11:S11)</f>
        <v/>
      </c>
      <c r="F11">
        <f>ABS(E11-D11)&gt;0.05</f>
        <v/>
      </c>
      <c r="G11" t="n">
        <v>0.4</v>
      </c>
      <c r="H11" t="n">
        <v>0.4</v>
      </c>
      <c r="I11" t="n">
        <v>0.4</v>
      </c>
      <c r="J11" t="n">
        <v>0.4</v>
      </c>
      <c r="K11" t="n">
        <v>2</v>
      </c>
      <c r="L11" t="n">
        <v>2</v>
      </c>
      <c r="M11" t="n">
        <v>1.4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</row>
    <row r="12">
      <c r="A12" t="inlineStr">
        <is>
          <t>Core</t>
        </is>
      </c>
      <c r="B12" t="inlineStr">
        <is>
          <t>Epsilon Compliance</t>
        </is>
      </c>
      <c r="C12" t="n">
        <v>5</v>
      </c>
      <c r="D12" t="n">
        <v>3</v>
      </c>
      <c r="E12">
        <f>SUM(G12:S12)</f>
        <v/>
      </c>
      <c r="F12">
        <f>ABS(E12-D12)&gt;0.05</f>
        <v/>
      </c>
      <c r="G12" t="n">
        <v>0</v>
      </c>
      <c r="H12" t="n">
        <v>0</v>
      </c>
      <c r="I12" t="n">
        <v>0</v>
      </c>
      <c r="J12" t="n">
        <v>0</v>
      </c>
      <c r="K12" t="n">
        <v>0.4</v>
      </c>
      <c r="L12" t="n">
        <v>0.4</v>
      </c>
      <c r="M12" t="n">
        <v>2</v>
      </c>
      <c r="N12" t="n">
        <v>0.2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</row>
    <row r="13">
      <c r="A13" t="inlineStr">
        <is>
          <t>Total</t>
        </is>
      </c>
      <c r="B13" t="inlineStr">
        <is>
          <t>Weekly Allocation</t>
        </is>
      </c>
      <c r="D13">
        <f>SUM(D8:D12)</f>
        <v/>
      </c>
      <c r="E13">
        <f>SUM(E8:E12)</f>
        <v/>
      </c>
      <c r="G13">
        <f>SUM(G8:G12)</f>
        <v/>
      </c>
      <c r="H13">
        <f>SUM(H8:H12)</f>
        <v/>
      </c>
      <c r="I13">
        <f>SUM(I8:I12)</f>
        <v/>
      </c>
      <c r="J13">
        <f>SUM(J8:J12)</f>
        <v/>
      </c>
      <c r="K13">
        <f>SUM(K8:K12)</f>
        <v/>
      </c>
      <c r="L13">
        <f>SUM(L8:L12)</f>
        <v/>
      </c>
      <c r="M13">
        <f>SUM(M8:M12)</f>
        <v/>
      </c>
      <c r="N13">
        <f>SUM(N8:N12)</f>
        <v/>
      </c>
      <c r="O13">
        <f>SUM(O8:O12)</f>
        <v/>
      </c>
      <c r="P13">
        <f>SUM(P8:P12)</f>
        <v/>
      </c>
      <c r="Q13">
        <f>SUM(Q8:Q12)</f>
        <v/>
      </c>
      <c r="R13">
        <f>SUM(R8:R12)</f>
        <v/>
      </c>
      <c r="S13">
        <f>SUM(S8:S12)</f>
        <v/>
      </c>
    </row>
    <row r="14">
      <c r="B14" t="inlineStr">
        <is>
          <t>Off Capacity</t>
        </is>
      </c>
      <c r="G14">
        <f>ABS(G13-G4)&gt;0.1</f>
        <v/>
      </c>
      <c r="H14">
        <f>ABS(H13-H4)&gt;0.1</f>
        <v/>
      </c>
      <c r="I14">
        <f>ABS(I13-I4)&gt;0.1</f>
        <v/>
      </c>
      <c r="J14">
        <f>ABS(J13-J4)&gt;0.1</f>
        <v/>
      </c>
      <c r="K14">
        <f>ABS(K13-K4)&gt;0.1</f>
        <v/>
      </c>
      <c r="L14">
        <f>ABS(L13-L4)&gt;0.1</f>
        <v/>
      </c>
      <c r="M14">
        <f>ABS(M13-M4)&gt;0.1</f>
        <v/>
      </c>
      <c r="N14">
        <f>ABS(N13-N4)&gt;0.1</f>
        <v/>
      </c>
      <c r="O14">
        <f>ABS(O13-O4)&gt;0.1</f>
        <v/>
      </c>
      <c r="P14">
        <f>ABS(P13-P4)&gt;0.1</f>
        <v/>
      </c>
      <c r="Q14">
        <f>ABS(Q13-Q4)&gt;0.1</f>
        <v/>
      </c>
      <c r="R14">
        <f>ABS(R13-R4)&gt;0.1</f>
        <v/>
      </c>
      <c r="S14">
        <f>ABS(S13-S4)&gt;0.1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2026-03-21T16:33:49Z</dcterms:created>
  <dcterms:modified xsi:type="dcterms:W3CDTF">2026-03-21T16:33:49Z</dcterms:modified>
</cp:coreProperties>
</file>